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<sst xmlns="http://schemas.openxmlformats.org/spreadsheetml/2006/main" count="153" uniqueCount="74">
  <si>
    <t/>
  </si>
  <si>
    <t xml:space="preserve">Bill of Materials </t>
  </si>
  <si>
    <t>midi to cv bom</t>
  </si>
  <si>
    <t>Project Title：</t>
  </si>
  <si>
    <t>MIDI - CV</t>
  </si>
  <si>
    <t>Variant:</t>
  </si>
  <si>
    <t xml:space="preserve"> </t>
  </si>
  <si>
    <t>Report Time：</t>
  </si>
  <si>
    <t>2026年10月17日 2:31:51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</si>
  <si>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</si>
  <si>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</si>
  <si>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</si>
  <si>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</si>
  <si>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</si>
  <si>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</si>
  <si>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</si>
  <si>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</si>
  <si>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</si>
  <si>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</si>
  <si>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</si>
  <si>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</si>
  <si>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100nF</t>
  </si>
  <si>
    <t>C1, C2, C3, C4, C5, C7</t>
  </si>
  <si>
    <t>C0603</t>
  </si>
  <si>
    <t>CC0603KRX7R0BB104</t>
  </si>
  <si>
    <t>YAGEO(国巨)</t>
  </si>
  <si>
    <t>C113803</t>
  </si>
  <si>
    <t>LCSC</t>
  </si>
  <si>
    <t>10uF</t>
  </si>
  <si>
    <t>C6</t>
  </si>
  <si>
    <t>CGA0603X5R106K100JT</t>
  </si>
  <si>
    <t>HRE(芯声)</t>
  </si>
  <si>
    <t>C6119842</t>
  </si>
  <si>
    <t>LAIL-SI-2.54-2X8P-ZC</t>
  </si>
  <si>
    <t>CN1</t>
  </si>
  <si>
    <t>IDC-TH_16P-P2.54-V-M-R2-C8-S2.54</t>
  </si>
  <si>
    <t>LAILAN(莱联)</t>
  </si>
  <si>
    <t>C55118368</t>
  </si>
  <si>
    <t>st7789屏幕 1.54寸 10pin</t>
  </si>
  <si>
    <t>TFT1</t>
  </si>
  <si>
    <t>pj-301m</t>
  </si>
  <si>
    <t>U1, U2, U3, U4, U5, U6, U7, U8, U9, U10, U11, U12, U13, U14, U15, U16, U17</t>
  </si>
  <si>
    <t>DAC8568ICPWR</t>
  </si>
  <si>
    <t>U18</t>
  </si>
  <si>
    <t>TSSOP-16_L5.0-W4.4-P0.65-LS6.4-BL</t>
  </si>
  <si>
    <t>TI(德州仪器)</t>
  </si>
  <si>
    <t>C524819</t>
  </si>
  <si>
    <t>SN74AHCT541PWR</t>
  </si>
  <si>
    <t>U19, U20</t>
  </si>
  <si>
    <t>TSSOP-20_L6.5-W4.4-P0.65-LS6.4-BL</t>
  </si>
  <si>
    <t>C50989</t>
  </si>
  <si>
    <t>Raspberry Pi Pico</t>
  </si>
  <si>
    <t>U22</t>
  </si>
  <si>
    <t>COMM-SMD_L51.0-W21.0-P2.54_SC0916</t>
  </si>
  <si>
    <t>Raspberry Pi(树莓派)</t>
  </si>
  <si>
    <t>C7203002</t>
  </si>
  <si>
    <t>ec11</t>
  </si>
  <si>
    <t>U23</t>
  </si>
  <si>
    <t>Project Title</t>
  </si>
  <si>
    <t>Borard Title</t>
  </si>
  <si>
    <t>Board1</t>
  </si>
  <si>
    <t>Schematic Title</t>
  </si>
  <si>
    <t>PCB Title</t>
  </si>
  <si>
    <t>PCB1</t>
  </si>
  <si>
    <t>Variant Name</t>
  </si>
  <si>
    <t>Total Quantity</t>
  </si>
  <si>
    <t>Report Time</t>
  </si>
  <si>
    <t>2:31:51</t>
  </si>
  <si>
    <t>Report Date</t>
  </si>
  <si>
    <t>2026年10月17日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</si>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</sst>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6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1</v>
      </c>
      <c r="C8" s="9" t="s">
        <v>28</v>
      </c>
      <c r="D8" s="9" t="s">
        <v>29</v>
      </c>
      <c r="E8" s="9" t="s">
        <v>23</v>
      </c>
      <c r="F8" s="9" t="s">
        <v>28</v>
      </c>
      <c r="G8" s="9" t="s">
        <v>30</v>
      </c>
      <c r="H8" s="9" t="s">
        <v>31</v>
      </c>
      <c r="I8" s="9" t="s">
        <v>32</v>
      </c>
      <c r="J8" s="9" t="s">
        <v>27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1</v>
      </c>
      <c r="C9" s="9" t="s">
        <v>33</v>
      </c>
      <c r="D9" s="9" t="s">
        <v>34</v>
      </c>
      <c r="E9" s="9" t="s">
        <v>35</v>
      </c>
      <c r="F9" s="9" t="s">
        <v>0</v>
      </c>
      <c r="G9" s="9" t="s">
        <v>33</v>
      </c>
      <c r="H9" s="9" t="s">
        <v>36</v>
      </c>
      <c r="I9" s="9" t="s">
        <v>37</v>
      </c>
      <c r="J9" s="9" t="s">
        <v>27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1</v>
      </c>
      <c r="C10" s="9" t="s">
        <v>38</v>
      </c>
      <c r="D10" s="9" t="s">
        <v>39</v>
      </c>
      <c r="E10" s="9" t="s">
        <v>38</v>
      </c>
      <c r="F10" s="9" t="s">
        <v>0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17</v>
      </c>
      <c r="C11" s="9" t="s">
        <v>40</v>
      </c>
      <c r="D11" s="9" t="s">
        <v>41</v>
      </c>
      <c r="E11" s="9" t="s">
        <v>40</v>
      </c>
      <c r="F11" s="9" t="s">
        <v>0</v>
      </c>
      <c r="G11" s="9" t="s">
        <v>0</v>
      </c>
      <c r="H11" s="9" t="s">
        <v>0</v>
      </c>
      <c r="I11" s="9" t="s">
        <v>0</v>
      </c>
      <c r="J11" s="9" t="s">
        <v>0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1</v>
      </c>
      <c r="C12" s="9" t="s">
        <v>42</v>
      </c>
      <c r="D12" s="9" t="s">
        <v>43</v>
      </c>
      <c r="E12" s="9" t="s">
        <v>44</v>
      </c>
      <c r="F12" s="9" t="s">
        <v>0</v>
      </c>
      <c r="G12" s="9" t="s">
        <v>42</v>
      </c>
      <c r="H12" s="9" t="s">
        <v>45</v>
      </c>
      <c r="I12" s="9" t="s">
        <v>46</v>
      </c>
      <c r="J12" s="9" t="s">
        <v>27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2</v>
      </c>
      <c r="C13" s="9" t="s">
        <v>47</v>
      </c>
      <c r="D13" s="9" t="s">
        <v>48</v>
      </c>
      <c r="E13" s="9" t="s">
        <v>49</v>
      </c>
      <c r="F13" s="9" t="s">
        <v>0</v>
      </c>
      <c r="G13" s="9" t="s">
        <v>47</v>
      </c>
      <c r="H13" s="9" t="s">
        <v>45</v>
      </c>
      <c r="I13" s="9" t="s">
        <v>50</v>
      </c>
      <c r="J13" s="9" t="s">
        <v>27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51</v>
      </c>
      <c r="D14" s="9" t="s">
        <v>52</v>
      </c>
      <c r="E14" s="9" t="s">
        <v>53</v>
      </c>
      <c r="F14" s="9" t="s">
        <v>0</v>
      </c>
      <c r="G14" s="9" t="s">
        <v>51</v>
      </c>
      <c r="H14" s="9" t="s">
        <v>54</v>
      </c>
      <c r="I14" s="9" t="s">
        <v>55</v>
      </c>
      <c r="J14" s="9" t="s">
        <v>27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56</v>
      </c>
      <c r="D15" s="9" t="s">
        <v>57</v>
      </c>
      <c r="E15" s="9" t="s">
        <v>56</v>
      </c>
      <c r="F15" s="9" t="s">
        <v>0</v>
      </c>
      <c r="G15" s="9" t="s">
        <v>0</v>
      </c>
      <c r="H15" s="9" t="s">
        <v>0</v>
      </c>
      <c r="I15" s="9" t="s">
        <v>0</v>
      </c>
      <c r="J15" s="9" t="s">
        <v>0</v>
      </c>
      <c r="K15" s="9" t="s">
        <v>0</v>
      </c>
      <c r="L15" s="10">
        <f>B15*K15</f>
      </c>
    </row>
    <row r="16" spans="1:12" x14ac:dyDescent="0.25">
      <c r="A16" s="8">
        <f>ROW()-6</f>
      </c>
      <c r="B16" s="11">
        <f>SUM(L7:L15)</f>
      </c>
      <c r="C16" s="11"/>
      <c r="D16" s="11"/>
      <c r="E16" s="11"/>
      <c r="F16" s="11"/>
      <c r="G16" s="11"/>
      <c r="H16" s="11"/>
      <c r="I16" s="11"/>
      <c r="J16" s="11"/>
      <c r="K16" s="11"/>
      <c r="L16" s="11"/>
    </row>
  </sheetData>
  <mergeCells count="4">
    <mergeCell ref="A1:D5"/>
    <mergeCell ref="E1:E2"/>
    <mergeCell ref="F1:F2"/>
    <mergeCell ref="B16:L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58</v>
      </c>
      <c r="B1" s="6" t="s">
        <v>4</v>
      </c>
    </row>
    <row r="2" spans="1:2" x14ac:dyDescent="0.25">
      <c r="A2" s="6" t="s">
        <v>59</v>
      </c>
      <c r="B2" s="6" t="s">
        <v>60</v>
      </c>
    </row>
    <row r="3" spans="1:2" x14ac:dyDescent="0.25">
      <c r="A3" s="6" t="s">
        <v>61</v>
      </c>
      <c r="B3" s="6" t="s">
        <v>6</v>
      </c>
    </row>
    <row r="4" spans="1:2" x14ac:dyDescent="0.25">
      <c r="A4" s="6" t="s">
        <v>62</v>
      </c>
      <c r="B4" s="6" t="s">
        <v>63</v>
      </c>
    </row>
    <row r="5" spans="1:2" x14ac:dyDescent="0.25">
      <c r="A5" s="6" t="s">
        <v>64</v>
      </c>
      <c r="B5" s="6" t="s">
        <v>6</v>
      </c>
    </row>
    <row r="6" spans="1:2" x14ac:dyDescent="0.25">
      <c r="A6" s="6" t="s">
        <v>65</v>
      </c>
      <c r="B6" s="6">
        <v>31</v>
      </c>
    </row>
    <row r="7" spans="1:2" x14ac:dyDescent="0.25">
      <c r="A7" s="6" t="s">
        <v>66</v>
      </c>
      <c r="B7" s="6" t="s">
        <v>67</v>
      </c>
    </row>
    <row r="8" spans="1:2" x14ac:dyDescent="0.25">
      <c r="A8" s="6" t="s">
        <v>68</v>
      </c>
      <c r="B8" s="6" t="s">
        <v>69</v>
      </c>
    </row>
    <row r="9" spans="1:2" x14ac:dyDescent="0.25">
      <c r="A9" s="6" t="s">
        <v>70</v>
      </c>
      <c r="B9" s="6" t="s">
        <v>8</v>
      </c>
    </row>
    <row r="10" spans="1:2" x14ac:dyDescent="0.25">
      <c r="A10" s="6" t="s">
        <v>71</v>
      </c>
      <c r="B10" s="6" t="s">
        <v>2</v>
      </c>
    </row>
    <row r="11" spans="1:2" x14ac:dyDescent="0.25">
      <c r="A11" s="6" t="s">
        <v>72</v>
      </c>
      <c r="B11" s="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2026-10-16T18:31:51Z</dcterms:modified>
</cp:coreProperties>
</file>